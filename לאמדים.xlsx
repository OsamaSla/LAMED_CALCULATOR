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OSAMA\CNCKAD 2016\שונות\VULCAN\לאמדים\"/>
    </mc:Choice>
  </mc:AlternateContent>
  <xr:revisionPtr revIDLastSave="0" documentId="13_ncr:1_{69736211-E626-456B-B23C-ACA26B020B98}" xr6:coauthVersionLast="47" xr6:coauthVersionMax="47" xr10:uidLastSave="{00000000-0000-0000-0000-000000000000}"/>
  <bookViews>
    <workbookView xWindow="4320" yWindow="2685" windowWidth="21600" windowHeight="11115" xr2:uid="{E04CB19B-AE39-441D-92EF-1D3D863D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H5" i="1" s="1"/>
  <c r="F5" i="1" s="1"/>
  <c r="I5" i="1" l="1"/>
  <c r="F2" i="1"/>
  <c r="H2" i="1" s="1"/>
  <c r="G2" i="1" l="1"/>
</calcChain>
</file>

<file path=xl/sharedStrings.xml><?xml version="1.0" encoding="utf-8"?>
<sst xmlns="http://schemas.openxmlformats.org/spreadsheetml/2006/main" count="15" uniqueCount="13">
  <si>
    <t>a</t>
  </si>
  <si>
    <t>D</t>
  </si>
  <si>
    <t>H</t>
  </si>
  <si>
    <t>offset</t>
  </si>
  <si>
    <t>r</t>
  </si>
  <si>
    <t>T</t>
  </si>
  <si>
    <t>cut length</t>
  </si>
  <si>
    <t>h</t>
  </si>
  <si>
    <t>גובה</t>
  </si>
  <si>
    <t>קוטר</t>
  </si>
  <si>
    <t>בריחה</t>
  </si>
  <si>
    <t>אורך חיתוך</t>
  </si>
  <si>
    <t>זווית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</si>
</sst>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sz val="11"/>
      <color theme="1"/>
      <name val="Symbol"/>
      <family val="1"/>
      <charset val="2"/>
    </font>
    <font>
      <sz val="11"/>
      <color rgb="FFFF0000"/>
      <name val="Symbol"/>
      <family val="1"/>
      <charset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1C4A-8847-468B-B42B-E73568F855C7}">
  <dimension ref="A1:J6"/>
  <sheetViews>
    <sheetView tabSelected="1" zoomScale="145" zoomScaleNormal="145" workbookViewId="0">
      <selection activeCell="H9" sqref="H9"/>
    </sheetView>
  </sheetViews>
  <sheetFormatPr defaultRowHeight="15" x14ac:dyDescent="0.25"/>
  <cols>
    <col min="1" max="1" width="10.28515625" customWidth="1"/>
    <col min="7" max="7" width="12" bestFit="1" customWidth="1"/>
  </cols>
  <sheetData>
    <row r="1" spans="1:10" x14ac:dyDescent="0.25">
      <c r="A1" s="1" t="s">
        <v>0</v>
      </c>
      <c r="B1" s="2" t="s">
        <v>1</v>
      </c>
      <c r="C1" s="2" t="s">
        <v>3</v>
      </c>
      <c r="D1" s="2" t="s">
        <v>4</v>
      </c>
      <c r="E1" s="3"/>
      <c r="F1" s="3" t="s">
        <v>5</v>
      </c>
      <c r="G1" s="3" t="s">
        <v>6</v>
      </c>
      <c r="H1" s="4" t="s">
        <v>2</v>
      </c>
      <c r="I1" s="3"/>
      <c r="J1" s="3"/>
    </row>
    <row r="2" spans="1:10" x14ac:dyDescent="0.25">
      <c r="A2" s="3">
        <v>10.56</v>
      </c>
      <c r="B2" s="3">
        <v>1450</v>
      </c>
      <c r="C2" s="3">
        <v>250</v>
      </c>
      <c r="D2" s="3">
        <v>300</v>
      </c>
      <c r="E2" s="3"/>
      <c r="F2" s="10">
        <f>(D2+(B2/2))*TAN(RADIANS(A2/2))</f>
        <v>94.725515185071458</v>
      </c>
      <c r="G2" s="10">
        <f>(C2/SIN(RADIANS(A2)))-(2*F2)</f>
        <v>1174.6931358311938</v>
      </c>
      <c r="H2" s="10">
        <f>2*F2+(C2/(TAN(RADIANS(A2))))</f>
        <v>1530.4914123799988</v>
      </c>
      <c r="I2" s="3"/>
      <c r="J2" s="3"/>
    </row>
    <row r="3" spans="1:10" ht="15.75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11" t="s">
        <v>8</v>
      </c>
      <c r="B4" s="12" t="s">
        <v>9</v>
      </c>
      <c r="C4" s="12" t="s">
        <v>10</v>
      </c>
      <c r="D4" s="13" t="s">
        <v>4</v>
      </c>
      <c r="E4" s="3"/>
      <c r="F4" s="14" t="s">
        <v>5</v>
      </c>
      <c r="G4" s="16" t="s">
        <v>11</v>
      </c>
      <c r="H4" s="16" t="s">
        <v>12</v>
      </c>
      <c r="I4" s="15" t="s">
        <v>7</v>
      </c>
      <c r="J4" s="3"/>
    </row>
    <row r="5" spans="1:10" ht="15.75" thickBot="1" x14ac:dyDescent="0.3">
      <c r="A5" s="17">
        <v>2000</v>
      </c>
      <c r="B5" s="5">
        <v>1450</v>
      </c>
      <c r="C5" s="5">
        <v>850</v>
      </c>
      <c r="D5" s="6">
        <v>268.17</v>
      </c>
      <c r="E5" s="3"/>
      <c r="F5" s="8">
        <f>(D5+(B5/2))*TAN(RADIANS(H5/2))</f>
        <v>267.14571270211655</v>
      </c>
      <c r="G5" s="7">
        <f>SQRT((POWER(A5,2)-(2*B5*C5)+POWER(C5,2)-(4*C5*D5)))</f>
        <v>1160.052585015007</v>
      </c>
      <c r="H5" s="18">
        <f>DEGREES(-ATAN(((B5*A5)+(2*A5*D5)+(-B5+C5-2*D5)*G5)/((-POWER(B5,2))+(B5*C5)-(4*B5*D5)+(2*C5*D5)-(4*POWER(D5,2))-(A5*G5))))</f>
        <v>30.110486981628725</v>
      </c>
      <c r="I5" s="9">
        <f>A5-(2*F5)</f>
        <v>1465.708574595767</v>
      </c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Slaieh</dc:creator>
  <cp:lastModifiedBy>ali sharara</cp:lastModifiedBy>
  <dcterms:created xsi:type="dcterms:W3CDTF">2019-02-07T16:40:00Z</dcterms:created>
  <dcterms:modified xsi:type="dcterms:W3CDTF">2026-09-15T14:22:22Z</dcterms:modified>
</cp:coreProperties>
</file>